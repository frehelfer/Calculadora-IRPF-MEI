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carinacct\Desktop\"/>
    </mc:Choice>
  </mc:AlternateContent>
  <bookViews>
    <workbookView xWindow="-120" yWindow="-120" windowWidth="20640" windowHeight="11160" tabRatio="0"/>
  </bookViews>
  <sheets>
    <sheet name="Planilha1" sheetId="1" r:id="rId1"/>
  </sheets>
  <definedNames>
    <definedName name="Z_1C373130_048F_4D21_8E13_6145F7A30964_.wvu.Cols" localSheetId="0" hidden="1">Planilha1!$I:$XFD</definedName>
    <definedName name="Z_1C373130_048F_4D21_8E13_6145F7A30964_.wvu.Rows" localSheetId="0" hidden="1">Planilha1!$65:$1048576,Planilha1!$20:$39,Planilha1!$54:$56</definedName>
  </definedNames>
  <calcPr calcId="152511"/>
  <customWorkbookViews>
    <customWorkbookView name="Carina Cristina Camargo Tasaka - Modo de exibição pessoal" guid="{1C373130-048F-4D21-8E13-6145F7A30964}" mergeInterval="0" personalView="1" maximized="1" xWindow="-268" yWindow="-1088" windowWidth="1936" windowHeight="1056" tabRatio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B13" i="1" l="1"/>
  <c r="B22" i="1" l="1"/>
  <c r="B26" i="1" s="1"/>
  <c r="B34" i="1"/>
  <c r="B38" i="1" s="1"/>
  <c r="B28" i="1"/>
  <c r="B32" i="1" s="1"/>
  <c r="F13" i="1"/>
  <c r="B36" i="1" l="1"/>
  <c r="F29" i="1" s="1"/>
  <c r="B30" i="1"/>
  <c r="F28" i="1" l="1"/>
  <c r="F23" i="1" l="1"/>
  <c r="B24" i="1"/>
  <c r="F27" i="1" s="1"/>
  <c r="F30" i="1" s="1"/>
  <c r="F19" i="1" s="1"/>
  <c r="F22" i="1" l="1"/>
  <c r="F24" i="1"/>
  <c r="F25" i="1" l="1"/>
  <c r="B19" i="1" s="1"/>
  <c r="H7" i="1" s="1"/>
</calcChain>
</file>

<file path=xl/comments1.xml><?xml version="1.0" encoding="utf-8"?>
<comments xmlns="http://schemas.openxmlformats.org/spreadsheetml/2006/main">
  <authors>
    <author>Carina Cristina Camargo Tasaka</author>
  </authors>
  <commentList>
    <comment ref="B7" authorId="0" shapeId="0">
      <text>
        <r>
          <rPr>
            <sz val="9"/>
            <color indexed="81"/>
            <rFont val="Calibri"/>
            <family val="2"/>
            <scheme val="minor"/>
          </rPr>
          <t>Insira o valor. 
Caso não tenha, digite "0" (zero).</t>
        </r>
      </text>
    </comment>
    <comment ref="B9" authorId="0" shapeId="0">
      <text>
        <r>
          <rPr>
            <sz val="9"/>
            <color indexed="81"/>
            <rFont val="Calibri"/>
            <family val="2"/>
            <scheme val="minor"/>
          </rPr>
          <t>Insira o valor. 
Caso não tenha, digite "0" (zero).</t>
        </r>
      </text>
    </comment>
    <comment ref="F9" authorId="0" shapeId="0">
      <text>
        <r>
          <rPr>
            <sz val="9"/>
            <color indexed="81"/>
            <rFont val="Calibri"/>
            <family val="2"/>
            <scheme val="minor"/>
          </rPr>
          <t>Insira o valor. 
Caso não tenha, digite "0" (zero).</t>
        </r>
      </text>
    </comment>
    <comment ref="B11" authorId="0" shapeId="0">
      <text>
        <r>
          <rPr>
            <sz val="9"/>
            <color indexed="81"/>
            <rFont val="Calibri"/>
            <family val="2"/>
            <scheme val="minor"/>
          </rPr>
          <t>Insira o valor. 
Caso não tenha, digite "0" (zero).</t>
        </r>
      </text>
    </comment>
  </commentList>
</comments>
</file>

<file path=xl/sharedStrings.xml><?xml version="1.0" encoding="utf-8"?>
<sst xmlns="http://schemas.openxmlformats.org/spreadsheetml/2006/main" count="48" uniqueCount="37">
  <si>
    <t>receita bruta anual</t>
  </si>
  <si>
    <t>serviços</t>
  </si>
  <si>
    <t>comércio</t>
  </si>
  <si>
    <t>Rendimentos Não Tributáveis</t>
  </si>
  <si>
    <t>Valor Limite (isenção) - IRPF 2019</t>
  </si>
  <si>
    <t>Tributáveis</t>
  </si>
  <si>
    <t>valor de rendimentos (NÃO) tributáveis</t>
  </si>
  <si>
    <t>Tributáveis - Serviços</t>
  </si>
  <si>
    <t>Tributáveis - Comércio</t>
  </si>
  <si>
    <t>Tributáveis - Transporte</t>
  </si>
  <si>
    <t>Tributáveis Total</t>
  </si>
  <si>
    <t>FATURAMENTO TOTAL</t>
  </si>
  <si>
    <t>DESPESA TOTAL</t>
  </si>
  <si>
    <t>Não Tributáveis - Serviços</t>
  </si>
  <si>
    <t>passageiros</t>
  </si>
  <si>
    <t>porcentagem de tributação</t>
  </si>
  <si>
    <t>ATENÇÃO:</t>
  </si>
  <si>
    <t>CALCULADORA DECLARAÇÃO IRPF - MEI</t>
  </si>
  <si>
    <t xml:space="preserve">                         Rendimento tributável superior a R$ 28.559,70</t>
  </si>
  <si>
    <t xml:space="preserve">                       OBRIGADO A ENTREGAR A DECLARAÇÃO DE AJUSTE ANUAL</t>
  </si>
  <si>
    <t xml:space="preserve">                       DO IMPOSTO DE RENDA DA PESSOA FÍSICA</t>
  </si>
  <si>
    <t xml:space="preserve">                        Rendimento Isento e Não Tributável superior a R$ 40.000,00</t>
  </si>
  <si>
    <t xml:space="preserve">                        OBRIGADO A ENTREGAR A DECLARAÇÃO DE AJUSTE ANUAL</t>
  </si>
  <si>
    <t>Compra de Mercadorias, Serviços contratados, aluguel de imóvel comercial, telefone, luz, água, salário e encargos trabalhistas (despesas do CNPJ relativas à atividade empresarial do MEI).</t>
  </si>
  <si>
    <t>Prestação de Serviços</t>
  </si>
  <si>
    <t>LUCRO = RENDIMENTO TRIBUTÁVEL</t>
  </si>
  <si>
    <t>LUCRO = RENDIMENTO ISENTO E NÃO TRIBUTÁVEL</t>
  </si>
  <si>
    <t xml:space="preserve">                         DO IMPOSTO DE RENDA DA PESSOA FÍSICA </t>
  </si>
  <si>
    <t>Indústria / Comércio / Serviço de Transporte de cargas intermunicipal e interestadual</t>
  </si>
  <si>
    <t>Serviços de Transporte de Passageiros</t>
  </si>
  <si>
    <t>INSIRA O VALOR DO FATURAMENTO BRUTO NO ANO DE 2019</t>
  </si>
  <si>
    <t>INSIRA O VALOR DAS DESPESAS NO ANO DE 2019</t>
  </si>
  <si>
    <t xml:space="preserve">                                                                         LUCRO TOTAL ANO-CALENDÁRIO DE 2019</t>
  </si>
  <si>
    <t>Esta calculadora considera como renda de pessoa física do MEI, apenas o lucro recebido da sua atividade. A pessoa física pode ter outros rendimentos tributáveis ou isentos e deverá 
considerá-los para saber se está obrigada a apresentar declaração do IRPF, somando todos os seus rendimentos e respeitando as regras de tributação.
Também poderá enquadrar-se em outras hipóteses que obrigam a entregar a Declaração Anual do IRPF 2020, como por exemplo, ter a posse ou a propriedade de bens em 31/12/2019, de valor 
superior a R$ 300 mil.</t>
  </si>
  <si>
    <t>Veja todas as hipóteses que obrigam a pessoa física a entregar a Declaração de Ajuste Anual do Imposto de Renda da Pessoa Física, ano-calendário 2019, exercício 2020, na IN RFB n. 
1924/2020.</t>
  </si>
  <si>
    <r>
      <t xml:space="preserve">                                                   </t>
    </r>
    <r>
      <rPr>
        <b/>
        <sz val="18"/>
        <color theme="0"/>
        <rFont val="Calibri"/>
        <family val="2"/>
        <scheme val="minor"/>
      </rPr>
      <t>ANO-CALENDÁRIO DE 2019 - EXERCÍCIO DE 2020</t>
    </r>
    <r>
      <rPr>
        <b/>
        <i/>
        <sz val="18"/>
        <color theme="0"/>
        <rFont val="Calibri"/>
        <family val="2"/>
        <scheme val="minor"/>
      </rPr>
      <t xml:space="preserve"> </t>
    </r>
    <r>
      <rPr>
        <sz val="18"/>
        <color theme="0"/>
        <rFont val="Calibri"/>
        <family val="2"/>
        <scheme val="minor"/>
      </rPr>
      <t>|</t>
    </r>
    <r>
      <rPr>
        <b/>
        <sz val="18"/>
        <color theme="0"/>
        <rFont val="Calibri"/>
        <family val="2"/>
        <scheme val="minor"/>
      </rPr>
      <t xml:space="preserve"> IN RFB n. 1924/2020</t>
    </r>
  </si>
  <si>
    <t>CONFIRA O RESULTADO DA DECLARAÇÃO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</si>
</sst>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5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9"/>
      <color indexed="8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2471B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179D8D"/>
        <bgColor indexed="64"/>
      </patternFill>
    </fill>
    <fill>
      <patternFill patternType="solid">
        <fgColor rgb="FF1BBBA8"/>
        <bgColor indexed="64"/>
      </patternFill>
    </fill>
    <fill>
      <patternFill patternType="solid">
        <fgColor rgb="FFF7882D"/>
        <bgColor indexed="64"/>
      </patternFill>
    </fill>
    <fill>
      <patternFill patternType="solid">
        <fgColor rgb="FFE66C08"/>
        <bgColor indexed="64"/>
      </patternFill>
    </fill>
    <fill>
      <patternFill patternType="solid">
        <fgColor rgb="FF087BB4"/>
        <bgColor indexed="64"/>
      </patternFill>
    </fill>
    <fill>
      <patternFill patternType="solid">
        <fgColor rgb="FF098ED1"/>
        <bgColor indexed="64"/>
      </patternFill>
    </fill>
    <fill>
      <patternFill patternType="solid">
        <fgColor rgb="FF003B7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44" fontId="0" fillId="2" borderId="0" xfId="1" applyFont="1" applyFill="1" applyBorder="1" applyAlignment="1">
      <alignment vertical="center"/>
    </xf>
    <xf numFmtId="44" fontId="0" fillId="3" borderId="0" xfId="1" applyFont="1" applyFill="1" applyBorder="1" applyAlignment="1">
      <alignment vertical="center"/>
    </xf>
    <xf numFmtId="9" fontId="0" fillId="2" borderId="0" xfId="2" applyFont="1" applyFill="1" applyBorder="1" applyAlignment="1">
      <alignment vertical="center"/>
    </xf>
    <xf numFmtId="9" fontId="0" fillId="2" borderId="0" xfId="2" applyNumberFormat="1" applyFont="1" applyFill="1" applyBorder="1" applyAlignment="1">
      <alignment vertical="center"/>
    </xf>
    <xf numFmtId="44" fontId="0" fillId="4" borderId="0" xfId="1" applyFont="1" applyFill="1" applyBorder="1" applyAlignment="1">
      <alignment vertical="center"/>
    </xf>
    <xf numFmtId="0" fontId="3" fillId="15" borderId="0" xfId="0" applyFont="1" applyFill="1" applyBorder="1" applyAlignment="1">
      <alignment horizontal="center" vertical="center" wrapText="1"/>
    </xf>
    <xf numFmtId="44" fontId="5" fillId="16" borderId="0" xfId="1" applyFont="1" applyFill="1" applyBorder="1" applyAlignment="1">
      <alignment horizontal="center" vertical="center"/>
    </xf>
    <xf numFmtId="44" fontId="5" fillId="9" borderId="0" xfId="1" applyFont="1" applyFill="1" applyBorder="1" applyAlignment="1">
      <alignment horizontal="center" vertical="center"/>
    </xf>
    <xf numFmtId="0" fontId="3" fillId="19" borderId="0" xfId="0" applyFont="1" applyFill="1" applyBorder="1" applyAlignment="1">
      <alignment horizontal="center" vertical="center" wrapText="1"/>
    </xf>
    <xf numFmtId="44" fontId="5" fillId="19" borderId="0" xfId="1" applyFont="1" applyFill="1" applyBorder="1" applyAlignment="1">
      <alignment horizontal="center" vertical="center" wrapText="1"/>
    </xf>
    <xf numFmtId="0" fontId="12" fillId="14" borderId="0" xfId="0" applyFont="1" applyFill="1" applyBorder="1" applyAlignment="1">
      <alignment vertical="center"/>
    </xf>
    <xf numFmtId="0" fontId="13" fillId="14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8" borderId="0" xfId="0" applyFont="1" applyFill="1" applyBorder="1" applyAlignment="1">
      <alignment vertical="center"/>
    </xf>
    <xf numFmtId="44" fontId="0" fillId="3" borderId="0" xfId="0" applyNumberFormat="1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44" fontId="0" fillId="4" borderId="0" xfId="0" applyNumberFormat="1" applyFont="1" applyFill="1" applyBorder="1" applyAlignment="1">
      <alignment vertical="center"/>
    </xf>
    <xf numFmtId="0" fontId="17" fillId="5" borderId="0" xfId="0" applyFont="1" applyFill="1" applyBorder="1" applyAlignment="1">
      <alignment vertical="center"/>
    </xf>
    <xf numFmtId="0" fontId="10" fillId="21" borderId="0" xfId="0" applyFont="1" applyFill="1" applyBorder="1" applyAlignment="1">
      <alignment horizontal="center" vertical="center" wrapText="1"/>
    </xf>
    <xf numFmtId="0" fontId="14" fillId="12" borderId="0" xfId="0" applyFont="1" applyFill="1" applyBorder="1" applyAlignment="1"/>
    <xf numFmtId="0" fontId="15" fillId="12" borderId="0" xfId="0" applyFont="1" applyFill="1" applyBorder="1" applyAlignment="1"/>
    <xf numFmtId="0" fontId="0" fillId="3" borderId="0" xfId="0" applyFont="1" applyFill="1" applyBorder="1" applyAlignment="1"/>
    <xf numFmtId="0" fontId="0" fillId="0" borderId="0" xfId="0" applyFont="1" applyBorder="1" applyAlignment="1"/>
    <xf numFmtId="44" fontId="5" fillId="9" borderId="0" xfId="1" applyFont="1" applyFill="1" applyBorder="1" applyAlignment="1">
      <alignment horizontal="center" vertical="center" wrapText="1"/>
    </xf>
    <xf numFmtId="44" fontId="5" fillId="17" borderId="0" xfId="1" applyFont="1" applyFill="1" applyBorder="1" applyAlignment="1">
      <alignment horizontal="center" vertical="center" wrapText="1"/>
    </xf>
    <xf numFmtId="0" fontId="0" fillId="8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 wrapText="1"/>
    </xf>
    <xf numFmtId="0" fontId="3" fillId="11" borderId="0" xfId="0" applyFont="1" applyFill="1" applyBorder="1" applyAlignment="1">
      <alignment horizontal="center"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3" fillId="19" borderId="0" xfId="0" applyFont="1" applyFill="1" applyBorder="1" applyAlignment="1">
      <alignment horizontal="left" vertical="center" wrapText="1"/>
    </xf>
    <xf numFmtId="0" fontId="3" fillId="18" borderId="0" xfId="0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/>
    </xf>
    <xf numFmtId="0" fontId="0" fillId="8" borderId="0" xfId="0" applyFont="1" applyFill="1" applyBorder="1" applyAlignment="1">
      <alignment horizontal="center" vertical="center"/>
    </xf>
    <xf numFmtId="44" fontId="11" fillId="20" borderId="0" xfId="1" applyFont="1" applyFill="1" applyBorder="1" applyAlignment="1">
      <alignment horizontal="center" vertical="center"/>
    </xf>
    <xf numFmtId="0" fontId="3" fillId="13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9" fillId="10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 wrapText="1"/>
    </xf>
    <xf numFmtId="0" fontId="3" fillId="11" borderId="0" xfId="0" applyFont="1" applyFill="1" applyBorder="1" applyAlignment="1">
      <alignment horizontal="center" vertical="center" wrapText="1"/>
    </xf>
    <xf numFmtId="0" fontId="6" fillId="10" borderId="0" xfId="0" applyFont="1" applyFill="1" applyBorder="1" applyAlignment="1">
      <alignment horizontal="left" vertical="center"/>
    </xf>
    <xf numFmtId="44" fontId="5" fillId="20" borderId="0" xfId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66"/>
      <color rgb="FF123A62"/>
      <color rgb="FF2471BE"/>
      <color rgb="FF003B76"/>
      <color rgb="FF003366"/>
      <color rgb="FF098ED1"/>
      <color rgb="FF087BB4"/>
      <color rgb="FFE66C08"/>
      <color rgb="FFF7882D"/>
      <color rgb="FFF782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2124075</xdr:colOff>
      <xdr:row>18</xdr:row>
      <xdr:rowOff>773206</xdr:rowOff>
    </xdr:from>
    <xdr:to>
      <xdr:col>0</xdr:col>
      <xdr:colOff>2608707</xdr:colOff>
      <xdr:row>42</xdr:row>
      <xdr:rowOff>45945</xdr:rowOff>
    </xdr:to>
    <xdr:sp macro="" textlink="">
      <xdr:nvSpPr>
        <xdr:cNvPr id="2" name="Seta para baix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2124075" y="7709647"/>
          <a:ext cx="484632" cy="482974"/>
        </a:xfrm>
        <a:prstGeom prst="downArrow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2047875</xdr:colOff>
      <xdr:row>18</xdr:row>
      <xdr:rowOff>784412</xdr:rowOff>
    </xdr:from>
    <xdr:to>
      <xdr:col>4</xdr:col>
      <xdr:colOff>2532507</xdr:colOff>
      <xdr:row>42</xdr:row>
      <xdr:rowOff>66675</xdr:rowOff>
    </xdr:to>
    <xdr:sp macro="" textlink="">
      <xdr:nvSpPr>
        <xdr:cNvPr id="5" name="Seta para baix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7460316" y="7720853"/>
          <a:ext cx="484632" cy="492498"/>
        </a:xfrm>
        <a:prstGeom prst="downArrow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2114550</xdr:colOff>
      <xdr:row>44</xdr:row>
      <xdr:rowOff>104775</xdr:rowOff>
    </xdr:from>
    <xdr:to>
      <xdr:col>0</xdr:col>
      <xdr:colOff>2599182</xdr:colOff>
      <xdr:row>46</xdr:row>
      <xdr:rowOff>95250</xdr:rowOff>
    </xdr:to>
    <xdr:sp macro="" textlink="">
      <xdr:nvSpPr>
        <xdr:cNvPr id="7" name="Seta para baixo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114550" y="8515350"/>
          <a:ext cx="484632" cy="371475"/>
        </a:xfrm>
        <a:prstGeom prst="downArrow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2057400</xdr:colOff>
      <xdr:row>44</xdr:row>
      <xdr:rowOff>104775</xdr:rowOff>
    </xdr:from>
    <xdr:to>
      <xdr:col>4</xdr:col>
      <xdr:colOff>2542032</xdr:colOff>
      <xdr:row>46</xdr:row>
      <xdr:rowOff>95250</xdr:rowOff>
    </xdr:to>
    <xdr:sp macro="" textlink="">
      <xdr:nvSpPr>
        <xdr:cNvPr id="8" name="Seta para baixo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7429500" y="8515350"/>
          <a:ext cx="484632" cy="371475"/>
        </a:xfrm>
        <a:prstGeom prst="downArrow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67235</xdr:colOff>
      <xdr:row>0</xdr:row>
      <xdr:rowOff>44824</xdr:rowOff>
    </xdr:from>
    <xdr:to>
      <xdr:col>0</xdr:col>
      <xdr:colOff>1311088</xdr:colOff>
      <xdr:row>0</xdr:row>
      <xdr:rowOff>694765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2631" b="32164"/>
        <a:stretch/>
      </xdr:blipFill>
      <xdr:spPr>
        <a:xfrm>
          <a:off x="67235" y="44824"/>
          <a:ext cx="1243853" cy="649941"/>
        </a:xfrm>
        <a:prstGeom prst="rect">
          <a:avLst/>
        </a:prstGeom>
      </xdr:spPr>
    </xdr:pic>
    <xdr:clientData/>
  </xdr:twoCellAnchor>
  <xdr:twoCellAnchor>
    <xdr:from>
      <xdr:col>7</xdr:col>
      <xdr:colOff>605117</xdr:colOff>
      <xdr:row>5</xdr:row>
      <xdr:rowOff>22409</xdr:rowOff>
    </xdr:from>
    <xdr:to>
      <xdr:col>7</xdr:col>
      <xdr:colOff>1647264</xdr:colOff>
      <xdr:row>6</xdr:row>
      <xdr:rowOff>571500</xdr:rowOff>
    </xdr:to>
    <xdr:sp macro="" textlink="">
      <xdr:nvSpPr>
        <xdr:cNvPr id="6" name="Seta para baixo 5"/>
        <xdr:cNvSpPr/>
      </xdr:nvSpPr>
      <xdr:spPr>
        <a:xfrm>
          <a:off x="11598088" y="1826556"/>
          <a:ext cx="1042147" cy="582709"/>
        </a:xfrm>
        <a:prstGeom prst="downArrow">
          <a:avLst>
            <a:gd name="adj1" fmla="val 50000"/>
            <a:gd name="adj2" fmla="val 75494"/>
          </a:avLst>
        </a:prstGeom>
        <a:solidFill>
          <a:schemeClr val="bg2">
            <a:lumMod val="95000"/>
          </a:schemeClr>
        </a:solidFill>
        <a:ln w="317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Personalizada 5">
      <a:dk1>
        <a:srgbClr val="7F7F7F"/>
      </a:dk1>
      <a:lt1>
        <a:srgbClr val="FFFFFF"/>
      </a:lt1>
      <a:dk2>
        <a:srgbClr val="7F7F7F"/>
      </a:dk2>
      <a:lt2>
        <a:srgbClr val="FFFFFF"/>
      </a:lt2>
      <a:accent1>
        <a:srgbClr val="40BAD2"/>
      </a:accent1>
      <a:accent2>
        <a:srgbClr val="FAB900"/>
      </a:accent2>
      <a:accent3>
        <a:srgbClr val="90BB23"/>
      </a:accent3>
      <a:accent4>
        <a:srgbClr val="EE7008"/>
      </a:accent4>
      <a:accent5>
        <a:srgbClr val="1AB39F"/>
      </a:accent5>
      <a:accent6>
        <a:srgbClr val="D5393D"/>
      </a:accent6>
      <a:hlink>
        <a:srgbClr val="90BB23"/>
      </a:hlink>
      <a:folHlink>
        <a:srgbClr val="EE700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Q64"/>
  <sheetViews>
    <sheetView showGridLines="0" tabSelected="1" zoomScale="85" zoomScaleNormal="85" workbookViewId="0">
      <selection activeCell="F11" sqref="F11"/>
    </sheetView>
  </sheetViews>
  <sheetFormatPr defaultColWidth="0" defaultRowHeight="15" zeroHeight="1" x14ac:dyDescent="0.25"/>
  <cols>
    <col min="1" max="1" width="59.42578125" style="16" customWidth="1"/>
    <col min="2" max="2" width="24.28515625" style="16" bestFit="1" customWidth="1"/>
    <col min="3" max="4" width="0.28515625" style="16" customWidth="1"/>
    <col min="5" max="5" width="59.42578125" style="16" customWidth="1"/>
    <col min="6" max="6" width="20.42578125" style="16" customWidth="1"/>
    <col min="7" max="7" width="0.28515625" style="16" customWidth="1"/>
    <col min="8" max="8" width="32" style="16" customWidth="1"/>
    <col min="9" max="9" width="1.140625" style="16" hidden="1" customWidth="1"/>
    <col min="10" max="10" width="32.28515625" style="16" hidden="1" customWidth="1"/>
    <col min="11" max="11" width="1.5703125" style="16" hidden="1" customWidth="1"/>
    <col min="12" max="16384" width="3.140625" style="16" hidden="1"/>
  </cols>
  <sheetData>
    <row r="1" spans="1:14" ht="63.75" customHeight="1" x14ac:dyDescent="0.25">
      <c r="A1" s="40" t="s">
        <v>17</v>
      </c>
      <c r="B1" s="40"/>
      <c r="C1" s="40"/>
      <c r="D1" s="40"/>
      <c r="E1" s="40"/>
      <c r="F1" s="40"/>
      <c r="G1" s="40"/>
      <c r="H1" s="40"/>
      <c r="I1" s="15"/>
      <c r="J1" s="15"/>
      <c r="K1" s="15"/>
      <c r="L1" s="15"/>
      <c r="M1" s="15"/>
      <c r="N1" s="15"/>
    </row>
    <row r="2" spans="1:14" s="17" customFormat="1" ht="1.5" customHeight="1" x14ac:dyDescent="0.25">
      <c r="A2" s="36"/>
      <c r="B2" s="36"/>
      <c r="C2" s="36"/>
      <c r="D2" s="36"/>
      <c r="E2" s="36"/>
      <c r="F2" s="36"/>
      <c r="G2" s="36"/>
      <c r="H2" s="36"/>
    </row>
    <row r="3" spans="1:14" ht="33" customHeight="1" x14ac:dyDescent="0.25">
      <c r="A3" s="43" t="s">
        <v>35</v>
      </c>
      <c r="B3" s="43"/>
      <c r="C3" s="43"/>
      <c r="D3" s="43"/>
      <c r="E3" s="43"/>
      <c r="F3" s="43"/>
      <c r="G3" s="43"/>
      <c r="H3" s="43"/>
      <c r="I3" s="15"/>
      <c r="J3" s="15"/>
      <c r="K3" s="15"/>
      <c r="L3" s="15"/>
      <c r="M3" s="15"/>
      <c r="N3" s="15"/>
    </row>
    <row r="4" spans="1:14" ht="3.75" customHeight="1" x14ac:dyDescent="0.25">
      <c r="A4" s="36"/>
      <c r="B4" s="36"/>
      <c r="C4" s="36"/>
      <c r="D4" s="36"/>
      <c r="E4" s="36"/>
      <c r="F4" s="36"/>
      <c r="G4" s="36"/>
      <c r="H4" s="36"/>
    </row>
    <row r="5" spans="1:14" ht="40.5" customHeight="1" x14ac:dyDescent="0.25">
      <c r="A5" s="42" t="s">
        <v>30</v>
      </c>
      <c r="B5" s="42"/>
      <c r="C5" s="36"/>
      <c r="D5" s="36"/>
      <c r="E5" s="41" t="s">
        <v>31</v>
      </c>
      <c r="F5" s="41"/>
      <c r="G5" s="17"/>
      <c r="H5" s="22" t="s">
        <v>36</v>
      </c>
      <c r="I5" s="15"/>
      <c r="J5" s="15"/>
      <c r="K5" s="15"/>
      <c r="L5" s="15"/>
      <c r="M5" s="15"/>
      <c r="N5" s="15"/>
    </row>
    <row r="6" spans="1:14" ht="2.25" customHeight="1" x14ac:dyDescent="0.25">
      <c r="A6" s="36"/>
      <c r="B6" s="36"/>
      <c r="C6" s="36"/>
      <c r="D6" s="36"/>
      <c r="E6" s="36"/>
      <c r="F6" s="36"/>
      <c r="G6" s="17"/>
      <c r="H6" s="17"/>
      <c r="I6" s="15"/>
      <c r="J6" s="15"/>
      <c r="K6" s="15"/>
      <c r="L6" s="15"/>
      <c r="M6" s="15"/>
      <c r="N6" s="15"/>
    </row>
    <row r="7" spans="1:14" ht="62.25" customHeight="1" x14ac:dyDescent="0.25">
      <c r="A7" s="8" t="s">
        <v>24</v>
      </c>
      <c r="B7" s="10">
        <v>0</v>
      </c>
      <c r="C7" s="17"/>
      <c r="D7" s="17"/>
      <c r="E7" s="34" t="s">
        <v>23</v>
      </c>
      <c r="F7" s="36"/>
      <c r="G7" s="36"/>
      <c r="H7" s="38" t="str">
        <f>IF(H22&gt;B19,"Declaração Anual do IRPF não obrigatória",IF(B19="0,00","Declaração Anual do IRPF não obrigatória","Declarar IRPF"))</f>
        <v>Declaração Anual do IRPF não obrigatória</v>
      </c>
      <c r="I7" s="18"/>
      <c r="J7" s="15"/>
      <c r="K7" s="15"/>
      <c r="L7" s="15"/>
      <c r="M7" s="15"/>
      <c r="N7" s="15"/>
    </row>
    <row r="8" spans="1:14" ht="5.25" customHeight="1" x14ac:dyDescent="0.25">
      <c r="A8" s="35"/>
      <c r="B8" s="35"/>
      <c r="C8" s="17"/>
      <c r="D8" s="17"/>
      <c r="E8" s="34"/>
      <c r="F8" s="36"/>
      <c r="G8" s="36"/>
      <c r="H8" s="38"/>
      <c r="I8" s="15"/>
      <c r="J8" s="15"/>
      <c r="K8" s="15"/>
      <c r="L8" s="15"/>
      <c r="M8" s="15"/>
      <c r="N8" s="15"/>
    </row>
    <row r="9" spans="1:14" ht="62.25" customHeight="1" x14ac:dyDescent="0.25">
      <c r="A9" s="8" t="s">
        <v>28</v>
      </c>
      <c r="B9" s="27">
        <v>0</v>
      </c>
      <c r="C9" s="17"/>
      <c r="D9" s="17"/>
      <c r="E9" s="34"/>
      <c r="F9" s="27">
        <v>0</v>
      </c>
      <c r="G9" s="36"/>
      <c r="H9" s="38"/>
      <c r="I9" s="15"/>
      <c r="J9" s="15"/>
      <c r="K9" s="15"/>
      <c r="L9" s="15"/>
      <c r="M9" s="15"/>
      <c r="N9" s="15"/>
    </row>
    <row r="10" spans="1:14" ht="6" customHeight="1" x14ac:dyDescent="0.25">
      <c r="A10" s="36"/>
      <c r="B10" s="36"/>
      <c r="C10" s="17"/>
      <c r="D10" s="17"/>
      <c r="E10" s="34"/>
      <c r="F10" s="17"/>
      <c r="G10" s="17"/>
      <c r="H10" s="38"/>
      <c r="I10" s="15"/>
      <c r="J10" s="15"/>
      <c r="K10" s="15"/>
      <c r="L10" s="15"/>
      <c r="M10" s="15"/>
      <c r="N10" s="15"/>
    </row>
    <row r="11" spans="1:14" ht="62.25" customHeight="1" x14ac:dyDescent="0.25">
      <c r="A11" s="8" t="s">
        <v>29</v>
      </c>
      <c r="B11" s="10">
        <v>0</v>
      </c>
      <c r="C11" s="17"/>
      <c r="D11" s="17"/>
      <c r="E11" s="34"/>
      <c r="F11" s="17"/>
      <c r="G11" s="17"/>
      <c r="H11" s="38"/>
      <c r="I11" s="15"/>
      <c r="J11" s="15"/>
      <c r="K11" s="15"/>
      <c r="L11" s="15"/>
      <c r="M11" s="15"/>
      <c r="N11" s="15"/>
    </row>
    <row r="12" spans="1:14" ht="4.5" customHeight="1" x14ac:dyDescent="0.25">
      <c r="A12" s="36"/>
      <c r="B12" s="36"/>
      <c r="C12" s="17"/>
      <c r="D12" s="17"/>
      <c r="E12" s="36"/>
      <c r="F12" s="36"/>
      <c r="G12" s="36"/>
      <c r="H12" s="36"/>
      <c r="I12" s="15"/>
      <c r="J12" s="15"/>
      <c r="K12" s="15"/>
      <c r="L12" s="15"/>
      <c r="M12" s="15"/>
      <c r="N12" s="15"/>
    </row>
    <row r="13" spans="1:14" ht="62.25" customHeight="1" x14ac:dyDescent="0.25">
      <c r="A13" s="31" t="s">
        <v>11</v>
      </c>
      <c r="B13" s="9">
        <f>B7+B9+B11</f>
        <v>0</v>
      </c>
      <c r="C13" s="17"/>
      <c r="D13" s="17"/>
      <c r="E13" s="30" t="s">
        <v>12</v>
      </c>
      <c r="F13" s="28">
        <f>F9</f>
        <v>0</v>
      </c>
      <c r="G13" s="36"/>
      <c r="H13" s="36"/>
      <c r="I13" s="15"/>
      <c r="J13" s="15"/>
      <c r="K13" s="15"/>
      <c r="L13" s="15"/>
      <c r="M13" s="15"/>
      <c r="N13" s="15"/>
    </row>
    <row r="14" spans="1:14" ht="3" customHeight="1" x14ac:dyDescent="0.25">
      <c r="A14" s="36"/>
      <c r="B14" s="36"/>
      <c r="C14" s="36"/>
      <c r="D14" s="36"/>
      <c r="E14" s="36"/>
      <c r="F14" s="36"/>
      <c r="G14" s="36"/>
      <c r="H14" s="36"/>
      <c r="I14" s="15"/>
      <c r="J14" s="15"/>
      <c r="K14" s="15"/>
      <c r="L14" s="15"/>
      <c r="M14" s="15"/>
      <c r="N14" s="15"/>
    </row>
    <row r="15" spans="1:14" ht="65.25" customHeight="1" x14ac:dyDescent="0.25">
      <c r="A15" s="33" t="s">
        <v>32</v>
      </c>
      <c r="B15" s="33"/>
      <c r="C15" s="33"/>
      <c r="D15" s="33"/>
      <c r="E15" s="33"/>
      <c r="F15" s="33"/>
      <c r="G15" s="36"/>
      <c r="H15" s="36"/>
      <c r="I15" s="15"/>
      <c r="J15" s="15"/>
      <c r="K15" s="15"/>
      <c r="L15" s="15"/>
      <c r="M15" s="15"/>
      <c r="N15" s="15"/>
    </row>
    <row r="16" spans="1:14" ht="1.5" customHeight="1" x14ac:dyDescent="0.25">
      <c r="A16" s="39"/>
      <c r="B16" s="39"/>
      <c r="C16" s="39"/>
      <c r="D16" s="39"/>
      <c r="E16" s="39"/>
      <c r="F16" s="39"/>
      <c r="G16" s="36"/>
      <c r="H16" s="29"/>
      <c r="I16" s="15"/>
      <c r="J16" s="15"/>
      <c r="K16" s="15"/>
      <c r="L16" s="15"/>
      <c r="M16" s="15"/>
      <c r="N16" s="15"/>
    </row>
    <row r="17" spans="1:14" ht="62.25" customHeight="1" x14ac:dyDescent="0.25">
      <c r="A17" s="17"/>
      <c r="B17" s="37">
        <f>IF(B7+B9+B11-F9&lt;0,"0,00",B7+B9+B11-F9)</f>
        <v>0</v>
      </c>
      <c r="C17" s="37"/>
      <c r="D17" s="37"/>
      <c r="E17" s="37"/>
      <c r="F17" s="37"/>
      <c r="G17" s="36"/>
      <c r="H17" s="36"/>
      <c r="I17" s="15"/>
      <c r="J17" s="15"/>
      <c r="K17" s="15"/>
      <c r="L17" s="15"/>
      <c r="M17" s="15"/>
      <c r="N17" s="15"/>
    </row>
    <row r="18" spans="1:14" ht="3" customHeight="1" x14ac:dyDescent="0.25">
      <c r="A18" s="36"/>
      <c r="B18" s="36"/>
      <c r="C18" s="36"/>
      <c r="D18" s="36"/>
      <c r="E18" s="36"/>
      <c r="F18" s="36"/>
      <c r="G18" s="36"/>
      <c r="H18" s="36"/>
      <c r="I18" s="15"/>
      <c r="J18" s="15"/>
      <c r="K18" s="15"/>
      <c r="L18" s="15"/>
      <c r="M18" s="15"/>
      <c r="N18" s="15"/>
    </row>
    <row r="19" spans="1:14" ht="62.25" customHeight="1" x14ac:dyDescent="0.25">
      <c r="A19" s="11" t="s">
        <v>25</v>
      </c>
      <c r="B19" s="44">
        <f>IF(F25-F9&lt;0,"0,00",F25-F9)</f>
        <v>0</v>
      </c>
      <c r="C19" s="36"/>
      <c r="D19" s="36"/>
      <c r="E19" s="12" t="s">
        <v>26</v>
      </c>
      <c r="F19" s="44">
        <f>IF(F30&gt;B17,B17,IF(B17="0,00","0,00",F30))</f>
        <v>0</v>
      </c>
      <c r="G19" s="36"/>
      <c r="H19" s="36"/>
      <c r="I19" s="15"/>
      <c r="J19" s="15"/>
      <c r="K19" s="15"/>
      <c r="L19" s="15"/>
      <c r="M19" s="15"/>
      <c r="N19" s="15"/>
    </row>
    <row r="20" spans="1:14" hidden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hidden="1" x14ac:dyDescent="0.25">
      <c r="A21" s="1" t="s">
        <v>3</v>
      </c>
      <c r="B21" s="19"/>
      <c r="C21" s="19"/>
      <c r="D21" s="19"/>
      <c r="E21" s="19"/>
      <c r="F21" s="19"/>
      <c r="G21" s="19"/>
      <c r="H21" s="2" t="s">
        <v>4</v>
      </c>
      <c r="I21" s="15"/>
      <c r="J21" s="15"/>
      <c r="K21" s="15"/>
      <c r="L21" s="15"/>
      <c r="M21" s="15"/>
      <c r="N21" s="15"/>
    </row>
    <row r="22" spans="1:14" hidden="1" x14ac:dyDescent="0.25">
      <c r="A22" s="19" t="s">
        <v>0</v>
      </c>
      <c r="B22" s="3">
        <f>B7</f>
        <v>0</v>
      </c>
      <c r="C22" s="19"/>
      <c r="D22" s="19"/>
      <c r="E22" s="19" t="s">
        <v>7</v>
      </c>
      <c r="F22" s="20">
        <f>B26</f>
        <v>0</v>
      </c>
      <c r="G22" s="19"/>
      <c r="H22" s="4">
        <v>28559.7</v>
      </c>
      <c r="I22" s="15"/>
      <c r="J22" s="15"/>
      <c r="K22" s="15"/>
      <c r="L22" s="15"/>
      <c r="M22" s="15"/>
      <c r="N22" s="15"/>
    </row>
    <row r="23" spans="1:14" hidden="1" x14ac:dyDescent="0.25">
      <c r="A23" s="19" t="s">
        <v>1</v>
      </c>
      <c r="B23" s="5">
        <v>0.32</v>
      </c>
      <c r="C23" s="19"/>
      <c r="D23" s="19"/>
      <c r="E23" s="19" t="s">
        <v>8</v>
      </c>
      <c r="F23" s="20">
        <f>B32</f>
        <v>0</v>
      </c>
      <c r="G23" s="19"/>
      <c r="H23" s="15"/>
      <c r="I23" s="15"/>
      <c r="J23" s="15"/>
      <c r="K23" s="15"/>
      <c r="L23" s="15"/>
      <c r="M23" s="15"/>
      <c r="N23" s="15"/>
    </row>
    <row r="24" spans="1:14" hidden="1" x14ac:dyDescent="0.25">
      <c r="A24" s="19" t="s">
        <v>6</v>
      </c>
      <c r="B24" s="20">
        <f>B22*B23</f>
        <v>0</v>
      </c>
      <c r="C24" s="19"/>
      <c r="D24" s="19"/>
      <c r="E24" s="19" t="s">
        <v>9</v>
      </c>
      <c r="F24" s="20">
        <f>B38</f>
        <v>0</v>
      </c>
      <c r="G24" s="19"/>
      <c r="H24" s="15"/>
      <c r="I24" s="15"/>
      <c r="J24" s="15"/>
      <c r="K24" s="15"/>
      <c r="L24" s="15"/>
      <c r="M24" s="15"/>
      <c r="N24" s="15"/>
    </row>
    <row r="25" spans="1:14" hidden="1" x14ac:dyDescent="0.25">
      <c r="A25" s="19" t="s">
        <v>15</v>
      </c>
      <c r="B25" s="6">
        <v>0.68</v>
      </c>
      <c r="C25" s="19"/>
      <c r="D25" s="19"/>
      <c r="E25" s="19" t="s">
        <v>10</v>
      </c>
      <c r="F25" s="20">
        <f>IF(F22+F23+F24&lt;0,"",F22+F23+F24)</f>
        <v>0</v>
      </c>
      <c r="G25" s="19"/>
      <c r="H25" s="15"/>
      <c r="I25" s="15"/>
      <c r="J25" s="15"/>
      <c r="K25" s="15"/>
      <c r="L25" s="15"/>
      <c r="M25" s="15"/>
      <c r="N25" s="15"/>
    </row>
    <row r="26" spans="1:14" hidden="1" x14ac:dyDescent="0.25">
      <c r="A26" s="19" t="s">
        <v>5</v>
      </c>
      <c r="B26" s="20">
        <f>B22*B25</f>
        <v>0</v>
      </c>
      <c r="C26" s="19"/>
      <c r="D26" s="19"/>
      <c r="E26" s="15"/>
      <c r="F26" s="19"/>
      <c r="G26" s="19"/>
      <c r="H26" s="15"/>
      <c r="I26" s="15"/>
      <c r="J26" s="15"/>
      <c r="K26" s="15"/>
      <c r="L26" s="15"/>
      <c r="M26" s="15"/>
      <c r="N26" s="15"/>
    </row>
    <row r="27" spans="1:14" ht="15" hidden="1" customHeight="1" x14ac:dyDescent="0.25">
      <c r="A27" s="15"/>
      <c r="B27" s="19"/>
      <c r="C27" s="19"/>
      <c r="D27" s="19"/>
      <c r="E27" s="19" t="s">
        <v>13</v>
      </c>
      <c r="F27" s="20">
        <f>B24</f>
        <v>0</v>
      </c>
      <c r="G27" s="19"/>
      <c r="H27" s="15"/>
      <c r="I27" s="15"/>
      <c r="J27" s="15"/>
      <c r="K27" s="15"/>
      <c r="L27" s="15"/>
      <c r="M27" s="15"/>
      <c r="N27" s="15"/>
    </row>
    <row r="28" spans="1:14" ht="15" hidden="1" customHeight="1" x14ac:dyDescent="0.25">
      <c r="A28" s="19" t="s">
        <v>0</v>
      </c>
      <c r="B28" s="3">
        <f>B9</f>
        <v>0</v>
      </c>
      <c r="C28" s="19"/>
      <c r="D28" s="19"/>
      <c r="E28" s="19" t="s">
        <v>13</v>
      </c>
      <c r="F28" s="20">
        <f>B30</f>
        <v>0</v>
      </c>
      <c r="G28" s="19"/>
      <c r="H28" s="15"/>
      <c r="I28" s="15"/>
      <c r="J28" s="15"/>
      <c r="K28" s="15"/>
      <c r="L28" s="15"/>
      <c r="M28" s="15"/>
      <c r="N28" s="15"/>
    </row>
    <row r="29" spans="1:14" ht="15" hidden="1" customHeight="1" x14ac:dyDescent="0.25">
      <c r="A29" s="19" t="s">
        <v>2</v>
      </c>
      <c r="B29" s="5">
        <v>0.08</v>
      </c>
      <c r="C29" s="19"/>
      <c r="D29" s="19"/>
      <c r="E29" s="19" t="s">
        <v>13</v>
      </c>
      <c r="F29" s="20">
        <f>B36</f>
        <v>0</v>
      </c>
      <c r="G29" s="19"/>
      <c r="H29" s="15"/>
      <c r="I29" s="15"/>
      <c r="J29" s="15"/>
      <c r="K29" s="15"/>
      <c r="L29" s="15"/>
      <c r="M29" s="15"/>
      <c r="N29" s="15"/>
    </row>
    <row r="30" spans="1:14" ht="15" hidden="1" customHeight="1" x14ac:dyDescent="0.25">
      <c r="A30" s="19" t="s">
        <v>6</v>
      </c>
      <c r="B30" s="20">
        <f>B28*B29</f>
        <v>0</v>
      </c>
      <c r="C30" s="19"/>
      <c r="D30" s="19"/>
      <c r="E30" s="19" t="s">
        <v>13</v>
      </c>
      <c r="F30" s="20">
        <f>F27+F28+F29</f>
        <v>0</v>
      </c>
      <c r="G30" s="19"/>
      <c r="H30" s="15"/>
      <c r="I30" s="15"/>
      <c r="J30" s="15"/>
      <c r="K30" s="15"/>
      <c r="L30" s="15"/>
      <c r="M30" s="15"/>
      <c r="N30" s="15"/>
    </row>
    <row r="31" spans="1:14" ht="15" hidden="1" customHeight="1" x14ac:dyDescent="0.25">
      <c r="A31" s="19" t="s">
        <v>15</v>
      </c>
      <c r="B31" s="5">
        <v>0.92</v>
      </c>
      <c r="C31" s="19"/>
      <c r="D31" s="19"/>
      <c r="E31" s="19"/>
      <c r="F31" s="19"/>
      <c r="G31" s="19"/>
      <c r="H31" s="15"/>
      <c r="I31" s="15"/>
      <c r="J31" s="15"/>
      <c r="K31" s="15"/>
      <c r="L31" s="15"/>
      <c r="M31" s="15"/>
      <c r="N31" s="15"/>
    </row>
    <row r="32" spans="1:14" ht="15" hidden="1" customHeight="1" x14ac:dyDescent="0.25">
      <c r="A32" s="19" t="s">
        <v>5</v>
      </c>
      <c r="B32" s="20">
        <f>B28*B31</f>
        <v>0</v>
      </c>
      <c r="C32" s="19"/>
      <c r="D32" s="19"/>
      <c r="E32" s="19"/>
      <c r="F32" s="19"/>
      <c r="G32" s="19"/>
      <c r="H32" s="15"/>
      <c r="I32" s="15"/>
      <c r="J32" s="15"/>
      <c r="K32" s="15"/>
      <c r="L32" s="15"/>
      <c r="M32" s="15"/>
      <c r="N32" s="15"/>
    </row>
    <row r="33" spans="1:14" hidden="1" x14ac:dyDescent="0.25">
      <c r="A33" s="15"/>
      <c r="B33" s="19"/>
      <c r="C33" s="19"/>
      <c r="D33" s="19"/>
      <c r="E33" s="19"/>
      <c r="F33" s="19"/>
      <c r="G33" s="19"/>
      <c r="H33" s="15"/>
      <c r="I33" s="15"/>
      <c r="J33" s="15"/>
      <c r="K33" s="15"/>
      <c r="L33" s="15"/>
      <c r="M33" s="15"/>
      <c r="N33" s="15"/>
    </row>
    <row r="34" spans="1:14" hidden="1" x14ac:dyDescent="0.25">
      <c r="A34" s="19" t="s">
        <v>0</v>
      </c>
      <c r="B34" s="3">
        <f>B11</f>
        <v>0</v>
      </c>
      <c r="C34" s="19"/>
      <c r="D34" s="19"/>
      <c r="E34" s="19"/>
      <c r="F34" s="19"/>
      <c r="G34" s="19"/>
      <c r="H34" s="15"/>
      <c r="I34" s="15"/>
      <c r="J34" s="15"/>
      <c r="K34" s="15"/>
      <c r="L34" s="15"/>
      <c r="M34" s="15"/>
      <c r="N34" s="15"/>
    </row>
    <row r="35" spans="1:14" hidden="1" x14ac:dyDescent="0.25">
      <c r="A35" s="19" t="s">
        <v>14</v>
      </c>
      <c r="B35" s="5">
        <v>0.16</v>
      </c>
      <c r="C35" s="19"/>
      <c r="D35" s="19"/>
      <c r="E35" s="19"/>
      <c r="F35" s="19"/>
      <c r="G35" s="19"/>
      <c r="H35" s="15"/>
      <c r="I35" s="15"/>
      <c r="J35" s="15"/>
      <c r="K35" s="15"/>
      <c r="L35" s="15"/>
      <c r="M35" s="15"/>
      <c r="N35" s="15"/>
    </row>
    <row r="36" spans="1:14" hidden="1" x14ac:dyDescent="0.25">
      <c r="A36" s="19" t="s">
        <v>6</v>
      </c>
      <c r="B36" s="7">
        <f>B34*B35</f>
        <v>0</v>
      </c>
      <c r="C36" s="19"/>
      <c r="D36" s="19"/>
      <c r="E36" s="19"/>
      <c r="F36" s="19"/>
      <c r="G36" s="19"/>
      <c r="H36" s="15"/>
      <c r="I36" s="15"/>
      <c r="J36" s="15"/>
      <c r="K36" s="15"/>
      <c r="L36" s="15"/>
      <c r="M36" s="15"/>
      <c r="N36" s="15"/>
    </row>
    <row r="37" spans="1:14" hidden="1" x14ac:dyDescent="0.25">
      <c r="A37" s="19" t="s">
        <v>15</v>
      </c>
      <c r="B37" s="5">
        <v>0.84</v>
      </c>
      <c r="C37" s="19"/>
      <c r="D37" s="19"/>
      <c r="E37" s="19"/>
      <c r="F37" s="19"/>
      <c r="G37" s="19"/>
      <c r="H37" s="15"/>
      <c r="I37" s="15"/>
      <c r="J37" s="15"/>
      <c r="K37" s="15"/>
      <c r="L37" s="15"/>
      <c r="M37" s="15"/>
      <c r="N37" s="15"/>
    </row>
    <row r="38" spans="1:14" hidden="1" x14ac:dyDescent="0.25">
      <c r="A38" s="19" t="s">
        <v>5</v>
      </c>
      <c r="B38" s="20">
        <f>B34*B37</f>
        <v>0</v>
      </c>
      <c r="C38" s="19"/>
      <c r="D38" s="19"/>
      <c r="E38" s="19"/>
      <c r="F38" s="19"/>
      <c r="G38" s="19"/>
      <c r="H38" s="15"/>
      <c r="I38" s="15"/>
      <c r="J38" s="15"/>
      <c r="K38" s="15"/>
      <c r="L38" s="15"/>
      <c r="M38" s="15"/>
      <c r="N38" s="15"/>
    </row>
    <row r="39" spans="1:14" hidden="1" x14ac:dyDescent="0.25">
      <c r="A39" s="19"/>
      <c r="B39" s="19"/>
      <c r="C39" s="19"/>
      <c r="D39" s="19"/>
      <c r="E39" s="19"/>
      <c r="F39" s="19"/>
      <c r="G39" s="19"/>
      <c r="H39" s="15"/>
      <c r="I39" s="15"/>
      <c r="J39" s="15"/>
      <c r="K39" s="15"/>
      <c r="L39" s="15"/>
      <c r="M39" s="15"/>
      <c r="N39" s="15"/>
    </row>
    <row r="40" spans="1:14" ht="3" customHeight="1" x14ac:dyDescent="0.25">
      <c r="A40" s="36"/>
      <c r="B40" s="36"/>
      <c r="C40" s="36"/>
      <c r="D40" s="36"/>
      <c r="E40" s="36"/>
      <c r="F40" s="36"/>
      <c r="G40" s="36"/>
      <c r="H40" s="36"/>
      <c r="I40" s="15"/>
      <c r="J40" s="15"/>
      <c r="K40" s="15"/>
      <c r="L40" s="15"/>
      <c r="M40" s="15"/>
      <c r="N40" s="15"/>
    </row>
    <row r="41" spans="1:14" x14ac:dyDescent="0.25">
      <c r="A41" s="13"/>
      <c r="B41" s="13"/>
      <c r="C41" s="13"/>
      <c r="D41" s="13"/>
      <c r="E41" s="13"/>
      <c r="F41" s="13"/>
      <c r="G41" s="13"/>
      <c r="H41" s="13"/>
      <c r="I41" s="15"/>
      <c r="J41" s="15"/>
      <c r="K41" s="15"/>
      <c r="L41" s="15"/>
      <c r="M41" s="15"/>
      <c r="N41" s="15"/>
    </row>
    <row r="42" spans="1:14" x14ac:dyDescent="0.25">
      <c r="A42" s="13"/>
      <c r="B42" s="13"/>
      <c r="C42" s="13"/>
      <c r="D42" s="13"/>
      <c r="E42" s="13"/>
      <c r="F42" s="13"/>
      <c r="G42" s="13"/>
      <c r="H42" s="13"/>
      <c r="I42" s="15"/>
      <c r="J42" s="15"/>
      <c r="K42" s="15"/>
      <c r="L42" s="15"/>
      <c r="M42" s="15"/>
      <c r="N42" s="15"/>
    </row>
    <row r="43" spans="1:14" x14ac:dyDescent="0.25">
      <c r="A43" s="13"/>
      <c r="B43" s="13"/>
      <c r="C43" s="13"/>
      <c r="D43" s="13"/>
      <c r="E43" s="13"/>
      <c r="F43" s="13"/>
      <c r="G43" s="13"/>
      <c r="H43" s="13"/>
      <c r="I43" s="15"/>
      <c r="J43" s="15"/>
      <c r="K43" s="15"/>
      <c r="L43" s="15"/>
      <c r="M43" s="15"/>
      <c r="N43" s="15"/>
    </row>
    <row r="44" spans="1:14" ht="22.5" customHeight="1" x14ac:dyDescent="0.25">
      <c r="A44" s="14" t="s">
        <v>18</v>
      </c>
      <c r="B44" s="13"/>
      <c r="C44" s="13"/>
      <c r="D44" s="13"/>
      <c r="E44" s="14" t="s">
        <v>21</v>
      </c>
      <c r="F44" s="13"/>
      <c r="G44" s="13"/>
      <c r="H44" s="13"/>
      <c r="I44" s="15"/>
      <c r="J44" s="15"/>
      <c r="K44" s="15"/>
      <c r="L44" s="15"/>
      <c r="M44" s="15"/>
      <c r="N44" s="15"/>
    </row>
    <row r="45" spans="1:14" x14ac:dyDescent="0.25">
      <c r="A45" s="13"/>
      <c r="B45" s="13"/>
      <c r="C45" s="13"/>
      <c r="D45" s="13"/>
      <c r="E45" s="13"/>
      <c r="F45" s="13"/>
      <c r="G45" s="13"/>
      <c r="H45" s="13"/>
      <c r="I45" s="15"/>
      <c r="J45" s="15"/>
      <c r="K45" s="15"/>
      <c r="L45" s="15"/>
      <c r="M45" s="15"/>
      <c r="N45" s="15"/>
    </row>
    <row r="46" spans="1:14" x14ac:dyDescent="0.25">
      <c r="A46" s="13"/>
      <c r="B46" s="13"/>
      <c r="C46" s="13"/>
      <c r="D46" s="13"/>
      <c r="E46" s="13"/>
      <c r="F46" s="13"/>
      <c r="G46" s="13"/>
      <c r="H46" s="13"/>
      <c r="I46" s="15"/>
      <c r="J46" s="15"/>
      <c r="K46" s="15"/>
      <c r="L46" s="15"/>
      <c r="M46" s="15"/>
      <c r="N46" s="15"/>
    </row>
    <row r="47" spans="1:14" x14ac:dyDescent="0.25">
      <c r="A47" s="13"/>
      <c r="B47" s="13"/>
      <c r="C47" s="13"/>
      <c r="D47" s="13"/>
      <c r="E47" s="13"/>
      <c r="F47" s="13"/>
      <c r="G47" s="13"/>
      <c r="H47" s="13"/>
      <c r="I47" s="15"/>
      <c r="J47" s="15"/>
      <c r="K47" s="15"/>
      <c r="L47" s="15"/>
      <c r="M47" s="15"/>
      <c r="N47" s="15"/>
    </row>
    <row r="48" spans="1:14" ht="15.75" x14ac:dyDescent="0.25">
      <c r="A48" s="14" t="s">
        <v>19</v>
      </c>
      <c r="B48" s="13"/>
      <c r="C48" s="13"/>
      <c r="D48" s="13"/>
      <c r="E48" s="14" t="s">
        <v>22</v>
      </c>
      <c r="F48" s="13"/>
      <c r="G48" s="13"/>
      <c r="H48" s="13"/>
      <c r="I48" s="15"/>
      <c r="J48" s="15"/>
      <c r="K48" s="15"/>
      <c r="L48" s="15"/>
      <c r="M48" s="15"/>
      <c r="N48" s="15"/>
    </row>
    <row r="49" spans="1:43" ht="15.75" x14ac:dyDescent="0.25">
      <c r="A49" s="14" t="s">
        <v>20</v>
      </c>
      <c r="B49" s="13"/>
      <c r="C49" s="13"/>
      <c r="D49" s="13"/>
      <c r="E49" s="14" t="s">
        <v>27</v>
      </c>
      <c r="F49" s="13"/>
      <c r="G49" s="13"/>
      <c r="H49" s="13"/>
      <c r="I49" s="15"/>
      <c r="J49" s="15"/>
      <c r="K49" s="15"/>
      <c r="L49" s="15"/>
      <c r="M49" s="15"/>
      <c r="N49" s="15"/>
    </row>
    <row r="50" spans="1:43" x14ac:dyDescent="0.25">
      <c r="A50" s="13"/>
      <c r="B50" s="13"/>
      <c r="C50" s="13"/>
      <c r="D50" s="13"/>
      <c r="E50" s="13"/>
      <c r="F50" s="13"/>
      <c r="G50" s="13"/>
      <c r="H50" s="13"/>
      <c r="I50" s="15"/>
      <c r="J50" s="15"/>
      <c r="K50" s="15"/>
      <c r="L50" s="15"/>
      <c r="M50" s="15"/>
      <c r="N50" s="15"/>
    </row>
    <row r="51" spans="1:43" s="26" customFormat="1" ht="21" x14ac:dyDescent="0.35">
      <c r="A51" s="23" t="s">
        <v>16</v>
      </c>
      <c r="B51" s="24"/>
      <c r="C51" s="24"/>
      <c r="D51" s="24"/>
      <c r="E51" s="24"/>
      <c r="F51" s="24"/>
      <c r="G51" s="24"/>
      <c r="H51" s="24"/>
      <c r="I51" s="25"/>
      <c r="J51" s="25"/>
      <c r="K51" s="25"/>
      <c r="L51" s="25"/>
      <c r="M51" s="25"/>
      <c r="N51" s="25"/>
    </row>
    <row r="52" spans="1:43" ht="103.5" customHeight="1" x14ac:dyDescent="0.25">
      <c r="A52" s="32" t="s">
        <v>33</v>
      </c>
      <c r="B52" s="32"/>
      <c r="C52" s="32"/>
      <c r="D52" s="32"/>
      <c r="E52" s="32"/>
      <c r="F52" s="32"/>
      <c r="G52" s="32"/>
      <c r="H52" s="32"/>
      <c r="I52" s="15"/>
      <c r="J52" s="15"/>
      <c r="K52" s="15"/>
      <c r="L52" s="15"/>
      <c r="M52" s="15"/>
      <c r="N52" s="15"/>
    </row>
    <row r="53" spans="1:43" ht="47.25" customHeight="1" x14ac:dyDescent="0.25">
      <c r="A53" s="32" t="s">
        <v>34</v>
      </c>
      <c r="B53" s="32"/>
      <c r="C53" s="32"/>
      <c r="D53" s="32"/>
      <c r="E53" s="32"/>
      <c r="F53" s="32"/>
      <c r="G53" s="32"/>
      <c r="H53" s="32"/>
      <c r="I53" s="15"/>
      <c r="J53" s="15"/>
      <c r="K53" s="15"/>
      <c r="L53" s="15"/>
      <c r="M53" s="15"/>
      <c r="N53" s="15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</row>
    <row r="54" spans="1:43" hidden="1" x14ac:dyDescent="0.25">
      <c r="A54" s="32"/>
      <c r="B54" s="32"/>
      <c r="C54" s="32"/>
      <c r="D54" s="32"/>
      <c r="E54" s="32"/>
      <c r="F54" s="32"/>
      <c r="G54" s="32"/>
      <c r="H54" s="32"/>
    </row>
    <row r="55" spans="1:43" hidden="1" x14ac:dyDescent="0.25">
      <c r="A55" s="32"/>
      <c r="B55" s="32"/>
      <c r="C55" s="32"/>
      <c r="D55" s="32"/>
      <c r="E55" s="32"/>
      <c r="F55" s="32"/>
      <c r="G55" s="32"/>
      <c r="H55" s="32"/>
    </row>
    <row r="56" spans="1:43" hidden="1" x14ac:dyDescent="0.25">
      <c r="A56" s="32"/>
      <c r="B56" s="32"/>
      <c r="C56" s="32"/>
      <c r="D56" s="32"/>
      <c r="E56" s="32"/>
      <c r="F56" s="32"/>
      <c r="G56" s="32"/>
      <c r="H56" s="32"/>
    </row>
    <row r="57" spans="1:43" x14ac:dyDescent="0.25"/>
    <row r="58" spans="1:43" x14ac:dyDescent="0.25"/>
    <row r="59" spans="1:43" x14ac:dyDescent="0.25"/>
    <row r="60" spans="1:43" x14ac:dyDescent="0.25"/>
    <row r="61" spans="1:43" x14ac:dyDescent="0.25"/>
    <row r="62" spans="1:43" x14ac:dyDescent="0.25"/>
    <row r="63" spans="1:43" x14ac:dyDescent="0.25"/>
    <row r="64" spans="1:43" x14ac:dyDescent="0.25"/>
  </sheetData>
  <sheetProtection algorithmName="SHA-512" hashValue="22B5OjyfU7hM7iAlUpMhYtLjt0sWH0pFcj4AV1WN4S0whwhP+UhyhoNrqh6qvf0gzssO1qpkZ3BgNy3efrDApw==" saltValue="dk8TH6zgJivpGzRRp1GGSQ==" spinCount="100000" sheet="1" objects="1" scenarios="1"/>
  <protectedRanges>
    <protectedRange sqref="B7 B9 B11 F9" name="Intervalo1"/>
  </protectedRanges>
  <customSheetViews>
    <customSheetView guid="{1C373130-048F-4D21-8E13-6145F7A30964}" scale="85" showGridLines="0" hiddenRows="1" hiddenColumns="1">
      <selection activeCell="E7" sqref="E7:E11"/>
      <pageMargins left="0.511811024" right="0.511811024" top="0.78740157499999996" bottom="0.78740157499999996" header="0.31496062000000002" footer="0.31496062000000002"/>
      <pageSetup orientation="portrait" r:id="rId1"/>
    </customSheetView>
  </customSheetViews>
  <mergeCells count="29">
    <mergeCell ref="A6:F6"/>
    <mergeCell ref="H14:H15"/>
    <mergeCell ref="A18:F18"/>
    <mergeCell ref="H17:H19"/>
    <mergeCell ref="G12:G19"/>
    <mergeCell ref="C19:D19"/>
    <mergeCell ref="A1:H1"/>
    <mergeCell ref="E5:F5"/>
    <mergeCell ref="A5:B5"/>
    <mergeCell ref="A4:H4"/>
    <mergeCell ref="C5:D5"/>
    <mergeCell ref="A3:H3"/>
    <mergeCell ref="A2:H2"/>
    <mergeCell ref="A52:H52"/>
    <mergeCell ref="A53:H56"/>
    <mergeCell ref="A15:F15"/>
    <mergeCell ref="E7:E11"/>
    <mergeCell ref="A8:B8"/>
    <mergeCell ref="A10:B10"/>
    <mergeCell ref="A12:B12"/>
    <mergeCell ref="E12:F12"/>
    <mergeCell ref="A14:F14"/>
    <mergeCell ref="B17:F17"/>
    <mergeCell ref="H7:H11"/>
    <mergeCell ref="A40:H40"/>
    <mergeCell ref="A16:F16"/>
    <mergeCell ref="F7:F8"/>
    <mergeCell ref="G7:G9"/>
    <mergeCell ref="H12:H13"/>
  </mergeCells>
  <conditionalFormatting sqref="H7">
    <cfRule type="expression" dxfId="0" priority="1">
      <formula>IF($H$7="Declarar IRPF",1)</formula>
    </cfRule>
  </conditionalFormatting>
  <pageMargins left="0.511811024" right="0.511811024" top="0.78740157499999996" bottom="0.78740157499999996" header="0.31496062000000002" footer="0.31496062000000002"/>
  <pageSetup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Silvio Vucinic</dc:creator>
  <cp:lastModifiedBy>Carina Cristina Camargo Tasaka</cp:lastModifiedBy>
  <dcterms:created xsi:type="dcterms:W3CDTF">2019-03-08T20:16:23Z</dcterms:created>
  <dcterms:modified xsi:type="dcterms:W3CDTF">2020-03-12T12:35:30Z</dcterms:modified>
</cp:coreProperties>
</file>